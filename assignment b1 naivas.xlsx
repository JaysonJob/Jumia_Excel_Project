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0F911954-EC38-44F2-90C4-ADACFAAA8C41}" xr6:coauthVersionLast="47" xr6:coauthVersionMax="47" xr10:uidLastSave="{00000000-0000-0000-0000-000000000000}"/>
  <bookViews>
    <workbookView xWindow="1820" yWindow="1820" windowWidth="9300" windowHeight="7360" xr2:uid="{1534D0F2-00DB-4DD8-98CA-7E5C8BD1996D}"/>
  </bookViews>
  <sheets>
    <sheet name="Row data" sheetId="1" r:id="rId1"/>
    <sheet name="Analysis" sheetId="3" r:id="rId2"/>
    <sheet name="insight" sheetId="13" r:id="rId3"/>
    <sheet name="Dashboard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F9" i="1" s="1"/>
  <c r="E9" i="1"/>
  <c r="H9" i="1"/>
  <c r="H3" i="1"/>
  <c r="H4" i="1"/>
  <c r="H5" i="1"/>
  <c r="H6" i="1"/>
  <c r="H7" i="1"/>
  <c r="H8" i="1"/>
  <c r="H10" i="1"/>
  <c r="H11" i="1"/>
  <c r="H12" i="1"/>
  <c r="H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10" i="1"/>
  <c r="F10" i="1" s="1"/>
  <c r="D11" i="1"/>
  <c r="F11" i="1" s="1"/>
  <c r="D12" i="1"/>
  <c r="F12" i="1" s="1"/>
  <c r="D2" i="1"/>
  <c r="F2" i="1" s="1"/>
  <c r="E3" i="1"/>
  <c r="E4" i="1"/>
  <c r="E5" i="1"/>
  <c r="E6" i="1"/>
  <c r="E7" i="1"/>
  <c r="E8" i="1"/>
  <c r="E10" i="1"/>
  <c r="E11" i="1"/>
  <c r="E12" i="1"/>
  <c r="E2" i="1"/>
</calcChain>
</file>

<file path=xl/sharedStrings.xml><?xml version="1.0" encoding="utf-8"?>
<sst xmlns="http://schemas.openxmlformats.org/spreadsheetml/2006/main" count="80" uniqueCount="56">
  <si>
    <t>Product</t>
  </si>
  <si>
    <t>Current Price</t>
  </si>
  <si>
    <t>Old Price</t>
  </si>
  <si>
    <t>Discount</t>
  </si>
  <si>
    <t>Discount amount</t>
  </si>
  <si>
    <t>Discount category</t>
  </si>
  <si>
    <t>Rating out of 5</t>
  </si>
  <si>
    <t>Ratings</t>
  </si>
  <si>
    <t>Samsung</t>
  </si>
  <si>
    <t>Iphone</t>
  </si>
  <si>
    <t>Laptop</t>
  </si>
  <si>
    <t>Flour</t>
  </si>
  <si>
    <t>Headset</t>
  </si>
  <si>
    <t>Perfume</t>
  </si>
  <si>
    <t>Television</t>
  </si>
  <si>
    <t>Jersey</t>
  </si>
  <si>
    <t>Shoes</t>
  </si>
  <si>
    <t>Towel</t>
  </si>
  <si>
    <t>Baby Oil</t>
  </si>
  <si>
    <t>TOP 5 PRODUCTS WITH HIGHEST DISCOUNT</t>
  </si>
  <si>
    <t>Products</t>
  </si>
  <si>
    <t>discount amount</t>
  </si>
  <si>
    <t>TOP 5 HIGHEST RATED PRODUCTS</t>
  </si>
  <si>
    <t>Ratings out of 5</t>
  </si>
  <si>
    <t>RATINGS BY CATEGORY</t>
  </si>
  <si>
    <t>Category</t>
  </si>
  <si>
    <t>Avg Rtings</t>
  </si>
  <si>
    <t>Avg reviews</t>
  </si>
  <si>
    <t>count</t>
  </si>
  <si>
    <t>Low</t>
  </si>
  <si>
    <t>Medium</t>
  </si>
  <si>
    <t>High</t>
  </si>
  <si>
    <t>STATISTICS</t>
  </si>
  <si>
    <t>Average current price</t>
  </si>
  <si>
    <t>(ksh)</t>
  </si>
  <si>
    <t>Average old price</t>
  </si>
  <si>
    <t>Average discount</t>
  </si>
  <si>
    <t>(%)</t>
  </si>
  <si>
    <t>Most expensive product</t>
  </si>
  <si>
    <t>Least expensive product</t>
  </si>
  <si>
    <t>Total reviews</t>
  </si>
  <si>
    <t>DISCOUNT CATEGORY DISTRIBUTION</t>
  </si>
  <si>
    <t>BOTTOM PRODUCTS BY REVIEWS</t>
  </si>
  <si>
    <t>Reviews</t>
  </si>
  <si>
    <t>poor</t>
  </si>
  <si>
    <t>KEY  INSIGHTS</t>
  </si>
  <si>
    <t>1.Discounts  only  increase  the  number  of  reviews  not  the  product  rattings.</t>
  </si>
  <si>
    <t xml:space="preserve">           we shuld stop over-relying on the high discounts as a growth bstratergy  because they attract a short time attention buy</t>
  </si>
  <si>
    <t xml:space="preserve">              does not guarantee a customer repeat purchase.</t>
  </si>
  <si>
    <t>2.Products  with  high  ratings  receive  more  reviews</t>
  </si>
  <si>
    <t xml:space="preserve">          we should priotize on product quality and customer experience since customer's ratings matters more.</t>
  </si>
  <si>
    <t xml:space="preserve"> 3.products  with  ratings  less  than  3  perform  poorly  even  with  discouns.</t>
  </si>
  <si>
    <t xml:space="preserve">       Jumia should remove or improve low performing products because poo rquality products damage the overall customer's trust.</t>
  </si>
  <si>
    <t>4.products  in  the  20%-40% discount  range  shows  the  highest  engagement  compared  to  low  discounts</t>
  </si>
  <si>
    <t xml:space="preserve">     Jumia should adopt a data-driven pricing strategy, focusing on optimal discount ranges instead of random or excessive price cuts.</t>
  </si>
  <si>
    <r>
      <t xml:space="preserve">Jumia will perform better in the future by focusing less on </t>
    </r>
    <r>
      <rPr>
        <b/>
        <sz val="11"/>
        <color theme="1"/>
        <rFont val="Aptos Narrow"/>
        <family val="2"/>
        <scheme val="minor"/>
      </rPr>
      <t>price cuts</t>
    </r>
    <r>
      <rPr>
        <sz val="11"/>
        <color theme="1"/>
        <rFont val="Aptos Narrow"/>
        <family val="2"/>
        <scheme val="minor"/>
      </rPr>
      <t xml:space="preserve"> and more on </t>
    </r>
    <r>
      <rPr>
        <b/>
        <sz val="11"/>
        <color theme="1"/>
        <rFont val="Aptos Narrow"/>
        <family val="2"/>
        <scheme val="minor"/>
      </rPr>
      <t>customer satisfaction, product quality, and trust-driven engagement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</si>
</sst>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1" tint="0.149998474074526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Font="1"/>
    <xf numFmtId="10" fontId="0" fillId="0" borderId="0" xfId="0" applyNumberFormat="1"/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0" fillId="8" borderId="0" xfId="0" applyFill="1"/>
  </cellXfs>
  <cellStyles count="2">
    <cellStyle name="Normal" xfId="0" builtinId="0"/>
    <cellStyle name="Normal 2" xfId="1" xr:uid="{0D210C57-4928-4DBC-BF5E-4E61C4F0C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BT RATINGS OUT OF 5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41666666666666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803149606299214E-2"/>
          <c:y val="0.22203484981044036"/>
          <c:w val="0.76229352580927379"/>
          <c:h val="0.4815310586176728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1"/>
              <c:pt idx="0">
                <c:v>baby oil</c:v>
              </c:pt>
              <c:pt idx="1">
                <c:v>flour</c:v>
              </c:pt>
              <c:pt idx="2">
                <c:v>headset</c:v>
              </c:pt>
              <c:pt idx="3">
                <c:v>iphone</c:v>
              </c:pt>
              <c:pt idx="4">
                <c:v>jersey</c:v>
              </c:pt>
              <c:pt idx="5">
                <c:v>laptop</c:v>
              </c:pt>
              <c:pt idx="6">
                <c:v>perfume</c:v>
              </c:pt>
              <c:pt idx="7">
                <c:v>samsung</c:v>
              </c:pt>
              <c:pt idx="8">
                <c:v>shoes</c:v>
              </c:pt>
              <c:pt idx="9">
                <c:v>television</c:v>
              </c:pt>
              <c:pt idx="10">
                <c:v>towel</c:v>
              </c:pt>
            </c:strLit>
          </c:cat>
          <c:val>
            <c:numLit>
              <c:formatCode>General</c:formatCode>
              <c:ptCount val="11"/>
              <c:pt idx="0">
                <c:v>3.6</c:v>
              </c:pt>
              <c:pt idx="1">
                <c:v>4.8</c:v>
              </c:pt>
              <c:pt idx="2">
                <c:v>3.2</c:v>
              </c:pt>
              <c:pt idx="3">
                <c:v>3.3</c:v>
              </c:pt>
              <c:pt idx="4">
                <c:v>4.5999999999999996</c:v>
              </c:pt>
              <c:pt idx="5">
                <c:v>4.3</c:v>
              </c:pt>
              <c:pt idx="6">
                <c:v>2.7</c:v>
              </c:pt>
              <c:pt idx="7">
                <c:v>2.5</c:v>
              </c:pt>
              <c:pt idx="8">
                <c:v>4.0999999999999996</c:v>
              </c:pt>
              <c:pt idx="9">
                <c:v>3.5</c:v>
              </c:pt>
              <c:pt idx="10">
                <c:v>2.9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E67-436A-8379-B37F28EE4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806896"/>
        <c:axId val="400808816"/>
      </c:lineChart>
      <c:catAx>
        <c:axId val="4008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808816"/>
        <c:crosses val="autoZero"/>
        <c:auto val="1"/>
        <c:lblAlgn val="ctr"/>
        <c:lblOffset val="100"/>
        <c:noMultiLvlLbl val="0"/>
      </c:catAx>
      <c:valAx>
        <c:axId val="4008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8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  <a:p>
            <a:pPr>
              <a:defRPr/>
            </a:pPr>
            <a:endParaRPr lang="en-GB"/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331-4340-8380-628E3A08B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6888624"/>
        <c:axId val="866881424"/>
      </c:barChart>
      <c:catAx>
        <c:axId val="8668886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81424"/>
        <c:crosses val="autoZero"/>
        <c:auto val="1"/>
        <c:lblAlgn val="ctr"/>
        <c:lblOffset val="100"/>
        <c:noMultiLvlLbl val="0"/>
      </c:catAx>
      <c:valAx>
        <c:axId val="86688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886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PRODUCTS</a:t>
            </a:r>
            <a:r>
              <a:rPr lang="en-GB" baseline="0"/>
              <a:t> BY CURRENT PRICE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32774300087489061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baby oil</c:v>
              </c:pt>
              <c:pt idx="1">
                <c:v>flour</c:v>
              </c:pt>
              <c:pt idx="2">
                <c:v>headset</c:v>
              </c:pt>
              <c:pt idx="3">
                <c:v>iphone</c:v>
              </c:pt>
              <c:pt idx="4">
                <c:v>jersey</c:v>
              </c:pt>
              <c:pt idx="5">
                <c:v>laptop</c:v>
              </c:pt>
              <c:pt idx="6">
                <c:v>perfume</c:v>
              </c:pt>
              <c:pt idx="7">
                <c:v>samsung</c:v>
              </c:pt>
              <c:pt idx="8">
                <c:v>shoes</c:v>
              </c:pt>
              <c:pt idx="9">
                <c:v>television</c:v>
              </c:pt>
              <c:pt idx="10">
                <c:v>towel</c:v>
              </c:pt>
            </c:strLit>
          </c:cat>
          <c:val>
            <c:numLit>
              <c:formatCode>General</c:formatCode>
              <c:ptCount val="11"/>
              <c:pt idx="0">
                <c:v>2000</c:v>
              </c:pt>
              <c:pt idx="1">
                <c:v>5000</c:v>
              </c:pt>
              <c:pt idx="2">
                <c:v>3400</c:v>
              </c:pt>
              <c:pt idx="3">
                <c:v>50000</c:v>
              </c:pt>
              <c:pt idx="4">
                <c:v>1700</c:v>
              </c:pt>
              <c:pt idx="5">
                <c:v>33000</c:v>
              </c:pt>
              <c:pt idx="6">
                <c:v>27000</c:v>
              </c:pt>
              <c:pt idx="7">
                <c:v>24000</c:v>
              </c:pt>
              <c:pt idx="8">
                <c:v>3400</c:v>
              </c:pt>
              <c:pt idx="9">
                <c:v>47000</c:v>
              </c:pt>
              <c:pt idx="10">
                <c:v>1300</c:v>
              </c:pt>
            </c:numLit>
          </c:val>
          <c:extLst>
            <c:ext xmlns:c16="http://schemas.microsoft.com/office/drawing/2014/chart" uri="{C3380CC4-5D6E-409C-BE32-E72D297353CC}">
              <c16:uniqueId val="{00000000-55F9-4A65-9DD0-06B17CEF9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786848"/>
        <c:axId val="400788768"/>
      </c:barChart>
      <c:catAx>
        <c:axId val="40078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88768"/>
        <c:crosses val="autoZero"/>
        <c:auto val="1"/>
        <c:lblAlgn val="ctr"/>
        <c:lblOffset val="100"/>
        <c:noMultiLvlLbl val="0"/>
      </c:catAx>
      <c:valAx>
        <c:axId val="4007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8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products by discount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9865734265734267"/>
          <c:y val="3.1007751937984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1F-4B90-8486-F936FE5F35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1F-4B90-8486-F936FE5F35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1F-4B90-8486-F936FE5F3511}"/>
              </c:ext>
            </c:extLst>
          </c:dPt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2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6-D71F-4B90-8486-F936FE5F3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</a:t>
            </a:r>
            <a:r>
              <a:rPr lang="en-GB" baseline="0"/>
              <a:t> of new and old price against product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Current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baby oil</c:v>
              </c:pt>
              <c:pt idx="1">
                <c:v>flour</c:v>
              </c:pt>
              <c:pt idx="2">
                <c:v>headset</c:v>
              </c:pt>
              <c:pt idx="3">
                <c:v>iphone</c:v>
              </c:pt>
              <c:pt idx="4">
                <c:v>jersey</c:v>
              </c:pt>
              <c:pt idx="5">
                <c:v>laptop</c:v>
              </c:pt>
              <c:pt idx="6">
                <c:v>perfume</c:v>
              </c:pt>
              <c:pt idx="7">
                <c:v>samsung</c:v>
              </c:pt>
              <c:pt idx="8">
                <c:v>shoes</c:v>
              </c:pt>
              <c:pt idx="9">
                <c:v>television</c:v>
              </c:pt>
              <c:pt idx="10">
                <c:v>towel</c:v>
              </c:pt>
            </c:strLit>
          </c:cat>
          <c:val>
            <c:numLit>
              <c:formatCode>General</c:formatCode>
              <c:ptCount val="11"/>
              <c:pt idx="0">
                <c:v>2000</c:v>
              </c:pt>
              <c:pt idx="1">
                <c:v>5000</c:v>
              </c:pt>
              <c:pt idx="2">
                <c:v>3400</c:v>
              </c:pt>
              <c:pt idx="3">
                <c:v>50000</c:v>
              </c:pt>
              <c:pt idx="4">
                <c:v>1700</c:v>
              </c:pt>
              <c:pt idx="5">
                <c:v>33000</c:v>
              </c:pt>
              <c:pt idx="6">
                <c:v>27000</c:v>
              </c:pt>
              <c:pt idx="7">
                <c:v>24000</c:v>
              </c:pt>
              <c:pt idx="8">
                <c:v>3400</c:v>
              </c:pt>
              <c:pt idx="9">
                <c:v>47000</c:v>
              </c:pt>
              <c:pt idx="10">
                <c:v>1300</c:v>
              </c:pt>
            </c:numLit>
          </c:val>
          <c:extLst>
            <c:ext xmlns:c16="http://schemas.microsoft.com/office/drawing/2014/chart" uri="{C3380CC4-5D6E-409C-BE32-E72D297353CC}">
              <c16:uniqueId val="{00000000-C506-4660-ABA3-5C801BDAEAAF}"/>
            </c:ext>
          </c:extLst>
        </c:ser>
        <c:ser>
          <c:idx val="1"/>
          <c:order val="1"/>
          <c:tx>
            <c:v>Sum of Old 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baby oil</c:v>
              </c:pt>
              <c:pt idx="1">
                <c:v>flour</c:v>
              </c:pt>
              <c:pt idx="2">
                <c:v>headset</c:v>
              </c:pt>
              <c:pt idx="3">
                <c:v>iphone</c:v>
              </c:pt>
              <c:pt idx="4">
                <c:v>jersey</c:v>
              </c:pt>
              <c:pt idx="5">
                <c:v>laptop</c:v>
              </c:pt>
              <c:pt idx="6">
                <c:v>perfume</c:v>
              </c:pt>
              <c:pt idx="7">
                <c:v>samsung</c:v>
              </c:pt>
              <c:pt idx="8">
                <c:v>shoes</c:v>
              </c:pt>
              <c:pt idx="9">
                <c:v>television</c:v>
              </c:pt>
              <c:pt idx="10">
                <c:v>towel</c:v>
              </c:pt>
            </c:strLit>
          </c:cat>
          <c:val>
            <c:numLit>
              <c:formatCode>General</c:formatCode>
              <c:ptCount val="11"/>
              <c:pt idx="0">
                <c:v>2900</c:v>
              </c:pt>
              <c:pt idx="1">
                <c:v>6250</c:v>
              </c:pt>
              <c:pt idx="2">
                <c:v>4500</c:v>
              </c:pt>
              <c:pt idx="3">
                <c:v>63000</c:v>
              </c:pt>
              <c:pt idx="4">
                <c:v>2500</c:v>
              </c:pt>
              <c:pt idx="5">
                <c:v>40000</c:v>
              </c:pt>
              <c:pt idx="6">
                <c:v>50000</c:v>
              </c:pt>
              <c:pt idx="7">
                <c:v>33000</c:v>
              </c:pt>
              <c:pt idx="8">
                <c:v>7000</c:v>
              </c:pt>
              <c:pt idx="9">
                <c:v>55600</c:v>
              </c:pt>
              <c:pt idx="10">
                <c:v>2300</c:v>
              </c:pt>
            </c:numLit>
          </c:val>
          <c:extLst>
            <c:ext xmlns:c16="http://schemas.microsoft.com/office/drawing/2014/chart" uri="{C3380CC4-5D6E-409C-BE32-E72D297353CC}">
              <c16:uniqueId val="{00000001-C506-4660-ABA3-5C801BDAE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8477200"/>
        <c:axId val="608482960"/>
      </c:barChart>
      <c:catAx>
        <c:axId val="60847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82960"/>
        <c:crosses val="autoZero"/>
        <c:auto val="1"/>
        <c:lblAlgn val="ctr"/>
        <c:lblOffset val="100"/>
        <c:noMultiLvlLbl val="0"/>
      </c:catAx>
      <c:valAx>
        <c:axId val="6084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7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ratings out of 5 against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Lit>
              <c:ptCount val="3"/>
              <c:pt idx="0">
                <c:v>average</c:v>
              </c:pt>
              <c:pt idx="1">
                <c:v>excellent</c:v>
              </c:pt>
              <c:pt idx="2">
                <c:v>poor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2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D464-4139-BA22-B84115600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46864"/>
        <c:axId val="1008354064"/>
      </c:areaChart>
      <c:catAx>
        <c:axId val="100834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54064"/>
        <c:crosses val="autoZero"/>
        <c:auto val="1"/>
        <c:lblAlgn val="ctr"/>
        <c:lblOffset val="100"/>
        <c:noMultiLvlLbl val="0"/>
      </c:catAx>
      <c:valAx>
        <c:axId val="10083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4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2C523-D2ED-4C12-B21D-5AFB2562B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50800</xdr:colOff>
      <xdr:row>16</xdr:row>
      <xdr:rowOff>36830</xdr:rowOff>
    </xdr:from>
    <xdr:to>
      <xdr:col>9</xdr:col>
      <xdr:colOff>96519</xdr:colOff>
      <xdr:row>16</xdr:row>
      <xdr:rowOff>82549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7D17B8-E2CE-45D7-AA96-741748D0E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12700</xdr:rowOff>
    </xdr:from>
    <xdr:to>
      <xdr:col>7</xdr:col>
      <xdr:colOff>304800</xdr:colOff>
      <xdr:row>23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437ECF-F687-4800-9EE4-57FAEF57C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501650</xdr:colOff>
      <xdr:row>1</xdr:row>
      <xdr:rowOff>120650</xdr:rowOff>
    </xdr:from>
    <xdr:to>
      <xdr:col>15</xdr:col>
      <xdr:colOff>165100</xdr:colOff>
      <xdr:row>12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5DBB2-8349-48EA-96B8-BB740CD9A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</xdr:colOff>
      <xdr:row>12</xdr:row>
      <xdr:rowOff>44450</xdr:rowOff>
    </xdr:from>
    <xdr:to>
      <xdr:col>15</xdr:col>
      <xdr:colOff>323850</xdr:colOff>
      <xdr:row>25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D9821C-4FA6-4D77-9629-AA468B33F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69850</xdr:colOff>
      <xdr:row>24</xdr:row>
      <xdr:rowOff>6350</xdr:rowOff>
    </xdr:from>
    <xdr:to>
      <xdr:col>7</xdr:col>
      <xdr:colOff>374650</xdr:colOff>
      <xdr:row>36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8D0A99-943E-486E-B828-9EB08516A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10E8-F48F-416E-8F76-5E6FC9355D3E}">
  <dimension ref="A1:H12"/>
  <sheetViews>
    <sheetView tabSelected="1" workbookViewId="0">
      <selection activeCell="D16" sqref="D16"/>
    </sheetView>
  </sheetViews>
  <sheetFormatPr defaultRowHeight="14.5" x14ac:dyDescent="0.35"/>
  <cols>
    <col min="2" max="2" width="11.54296875" bestFit="1" customWidth="1"/>
    <col min="5" max="5" width="15.26953125" bestFit="1" customWidth="1"/>
    <col min="6" max="6" width="15.81640625" bestFit="1" customWidth="1"/>
    <col min="7" max="7" width="12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>
        <v>24000</v>
      </c>
      <c r="C2">
        <v>33000</v>
      </c>
      <c r="D2" s="3">
        <f>(C2-B2)/C2</f>
        <v>0.27272727272727271</v>
      </c>
      <c r="E2">
        <f>(C2-B2)</f>
        <v>9000</v>
      </c>
      <c r="F2" t="str">
        <f>IF(D2&lt;20%,"low",IF(D2&lt;=40%,"medium","high"))</f>
        <v>medium</v>
      </c>
      <c r="G2">
        <v>2.5</v>
      </c>
      <c r="H2" t="str">
        <f>IF(G2&lt;3,"poor",IF(G2&lt;4.4,"average","excellent"))</f>
        <v>poor</v>
      </c>
    </row>
    <row r="3" spans="1:8" x14ac:dyDescent="0.35">
      <c r="A3" s="2" t="s">
        <v>9</v>
      </c>
      <c r="B3">
        <v>50000</v>
      </c>
      <c r="C3">
        <v>63000</v>
      </c>
      <c r="D3" s="3">
        <f t="shared" ref="D3:D12" si="0">(C3-B3)/C3</f>
        <v>0.20634920634920634</v>
      </c>
      <c r="E3">
        <f t="shared" ref="E3:E12" si="1">(C3-B3)</f>
        <v>13000</v>
      </c>
      <c r="F3" t="str">
        <f t="shared" ref="F3:F12" si="2">IF(D3&lt;20%,"low",IF(D3&lt;=40%,"medium","high"))</f>
        <v>medium</v>
      </c>
      <c r="G3">
        <v>3.3</v>
      </c>
      <c r="H3" t="str">
        <f t="shared" ref="H3:H12" si="3">IF(G3&lt;3,"poor",IF(G3&lt;4.4,"average","excellent"))</f>
        <v>average</v>
      </c>
    </row>
    <row r="4" spans="1:8" x14ac:dyDescent="0.35">
      <c r="A4" t="s">
        <v>10</v>
      </c>
      <c r="B4">
        <v>33000</v>
      </c>
      <c r="C4">
        <v>40000</v>
      </c>
      <c r="D4" s="3">
        <f t="shared" si="0"/>
        <v>0.17499999999999999</v>
      </c>
      <c r="E4">
        <f t="shared" si="1"/>
        <v>7000</v>
      </c>
      <c r="F4" t="str">
        <f t="shared" si="2"/>
        <v>low</v>
      </c>
      <c r="G4">
        <v>4.3</v>
      </c>
      <c r="H4" t="str">
        <f t="shared" si="3"/>
        <v>average</v>
      </c>
    </row>
    <row r="5" spans="1:8" x14ac:dyDescent="0.35">
      <c r="A5" s="2" t="s">
        <v>11</v>
      </c>
      <c r="B5">
        <v>5000</v>
      </c>
      <c r="C5">
        <v>6250</v>
      </c>
      <c r="D5" s="3">
        <f t="shared" si="0"/>
        <v>0.2</v>
      </c>
      <c r="E5">
        <f t="shared" si="1"/>
        <v>1250</v>
      </c>
      <c r="F5" t="str">
        <f t="shared" si="2"/>
        <v>medium</v>
      </c>
      <c r="G5">
        <v>4.8</v>
      </c>
      <c r="H5" t="str">
        <f t="shared" si="3"/>
        <v>excellent</v>
      </c>
    </row>
    <row r="6" spans="1:8" x14ac:dyDescent="0.35">
      <c r="A6" s="2" t="s">
        <v>12</v>
      </c>
      <c r="B6">
        <v>3400</v>
      </c>
      <c r="C6">
        <v>4500</v>
      </c>
      <c r="D6" s="3">
        <f t="shared" si="0"/>
        <v>0.24444444444444444</v>
      </c>
      <c r="E6">
        <f t="shared" si="1"/>
        <v>1100</v>
      </c>
      <c r="F6" t="str">
        <f t="shared" si="2"/>
        <v>medium</v>
      </c>
      <c r="G6">
        <v>3.2</v>
      </c>
      <c r="H6" t="str">
        <f t="shared" si="3"/>
        <v>average</v>
      </c>
    </row>
    <row r="7" spans="1:8" x14ac:dyDescent="0.35">
      <c r="A7" s="2" t="s">
        <v>13</v>
      </c>
      <c r="B7">
        <v>27000</v>
      </c>
      <c r="C7">
        <v>50000</v>
      </c>
      <c r="D7" s="3">
        <f t="shared" si="0"/>
        <v>0.46</v>
      </c>
      <c r="E7">
        <f t="shared" si="1"/>
        <v>23000</v>
      </c>
      <c r="F7" t="str">
        <f t="shared" si="2"/>
        <v>high</v>
      </c>
      <c r="G7">
        <v>2.7</v>
      </c>
      <c r="H7" t="str">
        <f t="shared" si="3"/>
        <v>poor</v>
      </c>
    </row>
    <row r="8" spans="1:8" x14ac:dyDescent="0.35">
      <c r="A8" s="2" t="s">
        <v>14</v>
      </c>
      <c r="B8">
        <v>47000</v>
      </c>
      <c r="C8">
        <v>55600</v>
      </c>
      <c r="D8" s="3">
        <f t="shared" si="0"/>
        <v>0.15467625899280577</v>
      </c>
      <c r="E8">
        <f t="shared" si="1"/>
        <v>8600</v>
      </c>
      <c r="F8" t="str">
        <f t="shared" si="2"/>
        <v>low</v>
      </c>
      <c r="G8">
        <v>3.5</v>
      </c>
      <c r="H8" t="str">
        <f t="shared" si="3"/>
        <v>average</v>
      </c>
    </row>
    <row r="9" spans="1:8" x14ac:dyDescent="0.35">
      <c r="A9" s="2" t="s">
        <v>15</v>
      </c>
      <c r="B9">
        <v>1700</v>
      </c>
      <c r="C9">
        <v>2500</v>
      </c>
      <c r="D9" s="3">
        <f t="shared" si="0"/>
        <v>0.32</v>
      </c>
      <c r="E9">
        <f t="shared" si="1"/>
        <v>800</v>
      </c>
      <c r="F9" t="str">
        <f>IF(D9&lt;20%,"low",IF(D9&lt;=40%,"medium","high"))</f>
        <v>medium</v>
      </c>
      <c r="G9">
        <v>4.5999999999999996</v>
      </c>
      <c r="H9" t="str">
        <f t="shared" si="3"/>
        <v>excellent</v>
      </c>
    </row>
    <row r="10" spans="1:8" x14ac:dyDescent="0.35">
      <c r="A10" s="2" t="s">
        <v>16</v>
      </c>
      <c r="B10">
        <v>3400</v>
      </c>
      <c r="C10">
        <v>7000</v>
      </c>
      <c r="D10" s="3">
        <f t="shared" si="0"/>
        <v>0.51428571428571423</v>
      </c>
      <c r="E10">
        <f t="shared" si="1"/>
        <v>3600</v>
      </c>
      <c r="F10" t="str">
        <f t="shared" si="2"/>
        <v>high</v>
      </c>
      <c r="G10">
        <v>4.0999999999999996</v>
      </c>
      <c r="H10" t="str">
        <f t="shared" si="3"/>
        <v>average</v>
      </c>
    </row>
    <row r="11" spans="1:8" x14ac:dyDescent="0.35">
      <c r="A11" s="2" t="s">
        <v>17</v>
      </c>
      <c r="B11">
        <v>1300</v>
      </c>
      <c r="C11">
        <v>2300</v>
      </c>
      <c r="D11" s="3">
        <f t="shared" si="0"/>
        <v>0.43478260869565216</v>
      </c>
      <c r="E11">
        <f t="shared" si="1"/>
        <v>1000</v>
      </c>
      <c r="F11" t="str">
        <f t="shared" si="2"/>
        <v>high</v>
      </c>
      <c r="G11">
        <v>2.9</v>
      </c>
      <c r="H11" t="str">
        <f t="shared" si="3"/>
        <v>poor</v>
      </c>
    </row>
    <row r="12" spans="1:8" x14ac:dyDescent="0.35">
      <c r="A12" s="2" t="s">
        <v>18</v>
      </c>
      <c r="B12">
        <v>2000</v>
      </c>
      <c r="C12">
        <v>2900</v>
      </c>
      <c r="D12" s="3">
        <f t="shared" si="0"/>
        <v>0.31034482758620691</v>
      </c>
      <c r="E12">
        <f t="shared" si="1"/>
        <v>900</v>
      </c>
      <c r="F12" t="str">
        <f t="shared" si="2"/>
        <v>medium</v>
      </c>
      <c r="G12">
        <v>3.6</v>
      </c>
      <c r="H12" t="str">
        <f t="shared" si="3"/>
        <v>average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6463-F1D1-4213-BC43-56BA713FE6D4}">
  <dimension ref="A1:E45"/>
  <sheetViews>
    <sheetView workbookViewId="0">
      <selection activeCell="C48" sqref="C48"/>
    </sheetView>
  </sheetViews>
  <sheetFormatPr defaultRowHeight="14.5" x14ac:dyDescent="0.35"/>
  <sheetData>
    <row r="1" spans="1:5" x14ac:dyDescent="0.35">
      <c r="A1" s="4" t="s">
        <v>19</v>
      </c>
      <c r="B1" s="4"/>
      <c r="C1" s="4"/>
      <c r="D1" s="4"/>
      <c r="E1" s="4"/>
    </row>
    <row r="2" spans="1:5" x14ac:dyDescent="0.35">
      <c r="A2" s="8" t="s">
        <v>20</v>
      </c>
      <c r="B2" s="9"/>
      <c r="C2" s="8" t="s">
        <v>21</v>
      </c>
      <c r="D2" s="9"/>
      <c r="E2" s="9"/>
    </row>
    <row r="3" spans="1:5" x14ac:dyDescent="0.35">
      <c r="A3" s="2" t="s">
        <v>13</v>
      </c>
      <c r="C3">
        <v>23000</v>
      </c>
    </row>
    <row r="4" spans="1:5" x14ac:dyDescent="0.35">
      <c r="A4" s="2" t="s">
        <v>9</v>
      </c>
      <c r="C4">
        <v>13000</v>
      </c>
    </row>
    <row r="5" spans="1:5" x14ac:dyDescent="0.35">
      <c r="A5" s="2" t="s">
        <v>8</v>
      </c>
      <c r="C5">
        <v>9000</v>
      </c>
    </row>
    <row r="6" spans="1:5" x14ac:dyDescent="0.35">
      <c r="A6" s="2" t="s">
        <v>14</v>
      </c>
      <c r="C6">
        <v>8600</v>
      </c>
    </row>
    <row r="7" spans="1:5" x14ac:dyDescent="0.35">
      <c r="A7" t="s">
        <v>10</v>
      </c>
      <c r="C7">
        <v>7000</v>
      </c>
    </row>
    <row r="8" spans="1:5" x14ac:dyDescent="0.35">
      <c r="A8" s="2"/>
    </row>
    <row r="9" spans="1:5" x14ac:dyDescent="0.35">
      <c r="A9" s="4" t="s">
        <v>22</v>
      </c>
      <c r="B9" s="4"/>
      <c r="C9" s="4"/>
      <c r="D9" s="4"/>
    </row>
    <row r="10" spans="1:5" x14ac:dyDescent="0.35">
      <c r="A10" s="8" t="s">
        <v>20</v>
      </c>
      <c r="B10" s="9"/>
      <c r="C10" s="8" t="s">
        <v>23</v>
      </c>
      <c r="D10" s="9"/>
    </row>
    <row r="11" spans="1:5" x14ac:dyDescent="0.35">
      <c r="A11" t="s">
        <v>11</v>
      </c>
      <c r="C11">
        <v>4.8</v>
      </c>
    </row>
    <row r="12" spans="1:5" x14ac:dyDescent="0.35">
      <c r="A12" t="s">
        <v>15</v>
      </c>
      <c r="C12">
        <v>4.5999999999999996</v>
      </c>
    </row>
    <row r="13" spans="1:5" x14ac:dyDescent="0.35">
      <c r="A13" t="s">
        <v>10</v>
      </c>
      <c r="C13">
        <v>4.3</v>
      </c>
    </row>
    <row r="14" spans="1:5" x14ac:dyDescent="0.35">
      <c r="A14" t="s">
        <v>16</v>
      </c>
      <c r="C14">
        <v>4.0999999999999996</v>
      </c>
    </row>
    <row r="15" spans="1:5" x14ac:dyDescent="0.35">
      <c r="A15" t="s">
        <v>18</v>
      </c>
      <c r="C15">
        <v>3.6</v>
      </c>
    </row>
    <row r="17" spans="1:4" ht="22.5" customHeight="1" x14ac:dyDescent="0.35">
      <c r="A17" s="4" t="s">
        <v>24</v>
      </c>
      <c r="B17" s="4"/>
      <c r="C17" s="4"/>
    </row>
    <row r="18" spans="1:4" x14ac:dyDescent="0.35">
      <c r="A18" s="8" t="s">
        <v>25</v>
      </c>
      <c r="B18" s="8" t="s">
        <v>26</v>
      </c>
      <c r="C18" s="8" t="s">
        <v>27</v>
      </c>
      <c r="D18" s="8" t="s">
        <v>28</v>
      </c>
    </row>
    <row r="19" spans="1:4" x14ac:dyDescent="0.35">
      <c r="A19" t="s">
        <v>29</v>
      </c>
      <c r="B19">
        <v>3.9</v>
      </c>
      <c r="C19">
        <v>467</v>
      </c>
      <c r="D19">
        <v>2</v>
      </c>
    </row>
    <row r="20" spans="1:4" x14ac:dyDescent="0.35">
      <c r="A20" t="s">
        <v>30</v>
      </c>
      <c r="B20">
        <v>3.7</v>
      </c>
      <c r="C20">
        <v>673</v>
      </c>
      <c r="D20">
        <v>6</v>
      </c>
    </row>
    <row r="21" spans="1:4" x14ac:dyDescent="0.35">
      <c r="A21" t="s">
        <v>31</v>
      </c>
      <c r="B21">
        <v>3.2</v>
      </c>
      <c r="C21">
        <v>282</v>
      </c>
      <c r="D21">
        <v>3</v>
      </c>
    </row>
    <row r="24" spans="1:4" x14ac:dyDescent="0.35">
      <c r="A24" s="4" t="s">
        <v>32</v>
      </c>
      <c r="B24" s="4"/>
      <c r="C24" s="4"/>
      <c r="D24" s="4"/>
    </row>
    <row r="25" spans="1:4" x14ac:dyDescent="0.35">
      <c r="A25" s="6" t="s">
        <v>33</v>
      </c>
      <c r="B25" s="6"/>
      <c r="C25" s="6" t="s">
        <v>34</v>
      </c>
      <c r="D25">
        <v>17981</v>
      </c>
    </row>
    <row r="26" spans="1:4" x14ac:dyDescent="0.35">
      <c r="A26" s="6" t="s">
        <v>35</v>
      </c>
      <c r="B26" s="6"/>
      <c r="C26" s="6" t="s">
        <v>34</v>
      </c>
      <c r="D26">
        <v>24277</v>
      </c>
    </row>
    <row r="27" spans="1:4" x14ac:dyDescent="0.35">
      <c r="A27" s="6" t="s">
        <v>36</v>
      </c>
      <c r="B27" s="6"/>
      <c r="C27" s="6" t="s">
        <v>37</v>
      </c>
      <c r="D27">
        <v>29.93</v>
      </c>
    </row>
    <row r="28" spans="1:4" x14ac:dyDescent="0.35">
      <c r="A28" s="6" t="s">
        <v>38</v>
      </c>
      <c r="B28" s="6"/>
      <c r="C28" s="6"/>
      <c r="D28" t="s">
        <v>9</v>
      </c>
    </row>
    <row r="29" spans="1:4" x14ac:dyDescent="0.35">
      <c r="A29" s="6" t="s">
        <v>39</v>
      </c>
      <c r="B29" s="6"/>
      <c r="C29" s="6"/>
      <c r="D29" t="s">
        <v>17</v>
      </c>
    </row>
    <row r="30" spans="1:4" x14ac:dyDescent="0.35">
      <c r="A30" s="6" t="s">
        <v>40</v>
      </c>
      <c r="B30" s="6"/>
      <c r="C30" s="6"/>
      <c r="D30">
        <v>11</v>
      </c>
    </row>
    <row r="31" spans="1:4" x14ac:dyDescent="0.35">
      <c r="A31" s="6"/>
      <c r="B31" s="6"/>
      <c r="C31" s="6"/>
    </row>
    <row r="32" spans="1:4" x14ac:dyDescent="0.35">
      <c r="A32" s="6"/>
      <c r="B32" s="6"/>
      <c r="C32" s="6"/>
    </row>
    <row r="35" spans="1:4" x14ac:dyDescent="0.35">
      <c r="A35" s="4" t="s">
        <v>41</v>
      </c>
      <c r="B35" s="4"/>
      <c r="C35" s="4"/>
      <c r="D35" s="4"/>
    </row>
    <row r="36" spans="1:4" x14ac:dyDescent="0.35">
      <c r="A36" s="7" t="s">
        <v>29</v>
      </c>
      <c r="B36" s="7"/>
      <c r="C36" s="7">
        <v>3</v>
      </c>
      <c r="D36" s="7"/>
    </row>
    <row r="37" spans="1:4" x14ac:dyDescent="0.35">
      <c r="A37" s="7" t="s">
        <v>30</v>
      </c>
      <c r="B37" s="7"/>
      <c r="C37" s="7">
        <v>6</v>
      </c>
      <c r="D37" s="7"/>
    </row>
    <row r="38" spans="1:4" x14ac:dyDescent="0.35">
      <c r="A38" s="7" t="s">
        <v>31</v>
      </c>
      <c r="B38" s="7"/>
      <c r="C38" s="7">
        <v>2</v>
      </c>
      <c r="D38" s="7"/>
    </row>
    <row r="41" spans="1:4" x14ac:dyDescent="0.35">
      <c r="A41" s="5" t="s">
        <v>42</v>
      </c>
      <c r="B41" s="5"/>
      <c r="C41" s="5"/>
      <c r="D41" s="5"/>
    </row>
    <row r="42" spans="1:4" x14ac:dyDescent="0.35">
      <c r="A42" s="8" t="s">
        <v>0</v>
      </c>
      <c r="B42" s="9"/>
      <c r="C42" s="8" t="s">
        <v>43</v>
      </c>
      <c r="D42" s="8" t="s">
        <v>7</v>
      </c>
    </row>
    <row r="43" spans="1:4" x14ac:dyDescent="0.35">
      <c r="A43" t="s">
        <v>17</v>
      </c>
      <c r="C43" t="s">
        <v>44</v>
      </c>
      <c r="D43">
        <v>2.9</v>
      </c>
    </row>
    <row r="44" spans="1:4" x14ac:dyDescent="0.35">
      <c r="A44" t="s">
        <v>13</v>
      </c>
      <c r="C44" t="s">
        <v>44</v>
      </c>
      <c r="D44">
        <v>2.7</v>
      </c>
    </row>
    <row r="45" spans="1:4" x14ac:dyDescent="0.35">
      <c r="A45" t="s">
        <v>8</v>
      </c>
      <c r="C45" t="s">
        <v>44</v>
      </c>
      <c r="D45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DD01-8404-417D-95C8-93D67541BE29}">
  <dimension ref="A2:L15"/>
  <sheetViews>
    <sheetView workbookViewId="0">
      <selection activeCell="M11" sqref="M11"/>
    </sheetView>
  </sheetViews>
  <sheetFormatPr defaultRowHeight="14.5" x14ac:dyDescent="0.35"/>
  <sheetData>
    <row r="2" spans="1:12" x14ac:dyDescent="0.35">
      <c r="C2" s="10" t="s">
        <v>45</v>
      </c>
      <c r="D2" s="11"/>
    </row>
    <row r="4" spans="1:12" x14ac:dyDescent="0.35">
      <c r="A4" s="12" t="s">
        <v>46</v>
      </c>
      <c r="B4" s="12"/>
      <c r="C4" s="12"/>
      <c r="D4" s="12"/>
      <c r="E4" s="12"/>
      <c r="F4" s="12"/>
      <c r="G4" s="12"/>
      <c r="H4" s="12"/>
    </row>
    <row r="5" spans="1:12" x14ac:dyDescent="0.35">
      <c r="A5" s="6" t="s">
        <v>47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35">
      <c r="A6" s="6" t="s">
        <v>48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35">
      <c r="A7" s="12" t="s">
        <v>49</v>
      </c>
      <c r="B7" s="12"/>
      <c r="C7" s="12"/>
      <c r="D7" s="12"/>
      <c r="E7" s="12"/>
    </row>
    <row r="8" spans="1:12" x14ac:dyDescent="0.35">
      <c r="A8" s="6" t="s">
        <v>50</v>
      </c>
      <c r="B8" s="6"/>
      <c r="C8" s="6"/>
      <c r="D8" s="6"/>
      <c r="E8" s="6"/>
      <c r="F8" s="6"/>
      <c r="G8" s="6"/>
      <c r="H8" s="6"/>
      <c r="I8" s="6"/>
      <c r="J8" s="6"/>
    </row>
    <row r="9" spans="1:12" x14ac:dyDescent="0.35">
      <c r="A9" s="12" t="s">
        <v>51</v>
      </c>
      <c r="B9" s="12"/>
      <c r="C9" s="12"/>
      <c r="D9" s="12"/>
      <c r="E9" s="12"/>
      <c r="F9" s="12"/>
      <c r="G9" s="12"/>
    </row>
    <row r="10" spans="1:12" x14ac:dyDescent="0.35">
      <c r="A10" s="6" t="s">
        <v>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12" t="s">
        <v>53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2" x14ac:dyDescent="0.35">
      <c r="A12" s="6" t="s">
        <v>54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5" spans="1:12" x14ac:dyDescent="0.35">
      <c r="B1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524E-CF72-4B04-AF6C-A6205876842C}">
  <dimension ref="A1"/>
  <sheetViews>
    <sheetView topLeftCell="A14" workbookViewId="0">
      <selection activeCell="K33" sqref="K3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Analysis</vt:lpstr>
      <vt:lpstr>insight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jayson kibet</dc:creator>
  <cp:keywords/>
  <dc:description/>
  <cp:lastModifiedBy>jayson kibet</cp:lastModifiedBy>
  <cp:revision/>
  <dcterms:created xsi:type="dcterms:W3CDTF">2026-03-18T06:29:39Z</dcterms:created>
  <dcterms:modified xsi:type="dcterms:W3CDTF">2026-03-29T18:06:55Z</dcterms:modified>
  <cp:category/>
  <cp:contentStatus/>
</cp:coreProperties>
</file>